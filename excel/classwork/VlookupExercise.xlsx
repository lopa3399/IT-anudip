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 activeTab="1"/>
  </bookViews>
  <sheets>
    <sheet name="Products" sheetId="1" r:id="rId1"/>
    <sheet name="Orders" sheetId="2" r:id="rId2"/>
  </sheets>
  <definedNames>
    <definedName name="ordertable">Orders!$A$1:$H$7</definedName>
    <definedName name="pro">Products!$A$2:$C$7</definedName>
  </definedNames>
  <calcPr calcId="124519"/>
</workbook>
</file>

<file path=xl/calcChain.xml><?xml version="1.0" encoding="utf-8"?>
<calcChain xmlns="http://schemas.openxmlformats.org/spreadsheetml/2006/main">
  <c r="E3" i="1"/>
  <c r="E4"/>
  <c r="E5"/>
  <c r="E6"/>
  <c r="E7"/>
  <c r="E2"/>
  <c r="D3"/>
  <c r="D4"/>
  <c r="D5"/>
  <c r="D6"/>
  <c r="D7"/>
  <c r="D2"/>
  <c r="I2" i="2"/>
  <c r="H3"/>
  <c r="H4"/>
  <c r="H5"/>
  <c r="H6"/>
  <c r="H7"/>
  <c r="H2"/>
  <c r="G3"/>
  <c r="G4"/>
  <c r="G5"/>
  <c r="G6"/>
  <c r="G7"/>
  <c r="G2"/>
  <c r="E3"/>
  <c r="F3" s="1"/>
  <c r="E4"/>
  <c r="F4" s="1"/>
  <c r="E5"/>
  <c r="E6"/>
  <c r="E7"/>
  <c r="F7" s="1"/>
  <c r="E2"/>
  <c r="D3"/>
  <c r="D4"/>
  <c r="D5"/>
  <c r="D6"/>
  <c r="D7"/>
  <c r="D2"/>
  <c r="F5"/>
  <c r="F6"/>
  <c r="F2"/>
</calcChain>
</file>

<file path=xl/sharedStrings.xml><?xml version="1.0" encoding="utf-8"?>
<sst xmlns="http://schemas.openxmlformats.org/spreadsheetml/2006/main" count="20" uniqueCount="19">
  <si>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</si>
  <si>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</si>
  <si>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</si>
  <si>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</si>
  <si>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</si>
  <si>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</si>
  <si>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</si>
  <si>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</si>
  <si>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Price</t>
  </si>
  <si>
    <t>OrderID</t>
  </si>
  <si>
    <t>Quantity</t>
  </si>
  <si>
    <t>Poduct Name</t>
  </si>
  <si>
    <t>Product Price</t>
  </si>
  <si>
    <t>Total Price</t>
  </si>
  <si>
    <t>Product exist on products table</t>
  </si>
  <si>
    <t>Max Order value</t>
  </si>
  <si>
    <t>Discount Price per unit</t>
  </si>
  <si>
    <t>Total Quantity Sold</t>
  </si>
  <si>
    <t>Order place or not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</si>
</sst>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E10" sqref="E10"/>
    </sheetView>
  </sheetViews>
  <sheetFormatPr defaultRowHeight="15"/>
  <cols>
    <col min="1" max="1" width="9.7109375" bestFit="1" customWidth="1"/>
    <col min="2" max="2" width="9.5703125" bestFit="1" customWidth="1"/>
    <col min="3" max="3" width="5.42578125" bestFit="1" customWidth="1"/>
    <col min="4" max="4" width="17.28515625" bestFit="1" customWidth="1"/>
    <col min="5" max="5" width="18.140625" bestFit="1" customWidth="1"/>
  </cols>
  <sheetData>
    <row r="1" spans="1:5">
      <c r="A1" s="3" t="s">
        <v>0</v>
      </c>
      <c r="B1" s="3" t="s">
        <v>1</v>
      </c>
      <c r="C1" s="3" t="s">
        <v>8</v>
      </c>
      <c r="D1" s="3" t="s">
        <v>18</v>
      </c>
      <c r="E1" s="2" t="s">
        <v>17</v>
      </c>
    </row>
    <row r="2" spans="1:5">
      <c r="A2" s="4">
        <v>101</v>
      </c>
      <c r="B2" s="4" t="s">
        <v>2</v>
      </c>
      <c r="C2" s="4">
        <v>120</v>
      </c>
      <c r="D2" s="4" t="str">
        <f>IF(ISNA(VLOOKUP(A2, Orders!$B$2:$B$7, 1, FALSE)), "Not Ordered", "Ordered")</f>
        <v>Ordered</v>
      </c>
      <c r="E2" s="4">
        <f>VLOOKUP(A2, Orders!$B$2:$D$7, 2, FALSE)</f>
        <v>2</v>
      </c>
    </row>
    <row r="3" spans="1:5">
      <c r="A3" s="4">
        <v>102</v>
      </c>
      <c r="B3" s="4" t="s">
        <v>3</v>
      </c>
      <c r="C3" s="4">
        <v>150</v>
      </c>
      <c r="D3" s="4" t="str">
        <f>IF(ISNA(VLOOKUP(A3, Orders!$B$2:$B$7, 1, FALSE)), "Not Ordered", "Ordered")</f>
        <v>Ordered</v>
      </c>
      <c r="E3" s="4">
        <f>VLOOKUP(A3, Orders!$B$2:$D$7, 2, FALSE)</f>
        <v>5</v>
      </c>
    </row>
    <row r="4" spans="1:5">
      <c r="A4" s="4">
        <v>103</v>
      </c>
      <c r="B4" s="4" t="s">
        <v>4</v>
      </c>
      <c r="C4" s="4">
        <v>200</v>
      </c>
      <c r="D4" s="4" t="str">
        <f>IF(ISNA(VLOOKUP(A4, Orders!$B$2:$B$7, 1, FALSE)), "Not Ordered", "Ordered")</f>
        <v>Ordered</v>
      </c>
      <c r="E4" s="4">
        <f>VLOOKUP(A4, Orders!$B$2:$D$7, 2, FALSE)</f>
        <v>1</v>
      </c>
    </row>
    <row r="5" spans="1:5">
      <c r="A5" s="4">
        <v>104</v>
      </c>
      <c r="B5" s="4" t="s">
        <v>5</v>
      </c>
      <c r="C5" s="4">
        <v>90</v>
      </c>
      <c r="D5" s="4" t="str">
        <f>IF(ISNA(VLOOKUP(A5, Orders!$B$2:$B$7, 1, FALSE)), "Not Ordered", "Ordered")</f>
        <v>Ordered</v>
      </c>
      <c r="E5" s="4">
        <f>VLOOKUP(A5, Orders!$B$2:$D$7, 2, FALSE)</f>
        <v>6</v>
      </c>
    </row>
    <row r="6" spans="1:5">
      <c r="A6" s="4">
        <v>105</v>
      </c>
      <c r="B6" s="4" t="s">
        <v>6</v>
      </c>
      <c r="C6" s="4">
        <v>220</v>
      </c>
      <c r="D6" s="4" t="str">
        <f>IF(ISNA(VLOOKUP(A6, Orders!$B$2:$B$7, 1, FALSE)), "Not Ordered", "Ordered")</f>
        <v>Ordered</v>
      </c>
      <c r="E6" s="4">
        <f>VLOOKUP(A6, Orders!$B$2:$D$7, 2, FALSE)</f>
        <v>4</v>
      </c>
    </row>
    <row r="7" spans="1:5">
      <c r="A7" s="4">
        <v>106</v>
      </c>
      <c r="B7" s="4" t="s">
        <v>7</v>
      </c>
      <c r="C7" s="4">
        <v>130</v>
      </c>
      <c r="D7" s="4" t="str">
        <f>IF(ISNA(VLOOKUP(A7, Orders!$B$2:$B$7, 1, FALSE)), "Not Ordered", "Ordered")</f>
        <v>Ordered</v>
      </c>
      <c r="E7" s="4">
        <f>VLOOKUP(A7, Orders!$B$2:$D$7, 2, FALSE)</f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selection activeCell="I2" sqref="I2"/>
    </sheetView>
  </sheetViews>
  <sheetFormatPr defaultRowHeight="15"/>
  <cols>
    <col min="1" max="1" width="8" bestFit="1" customWidth="1"/>
    <col min="2" max="2" width="9.7109375" bestFit="1" customWidth="1"/>
    <col min="3" max="3" width="8.7109375" bestFit="1" customWidth="1"/>
    <col min="4" max="4" width="12.85546875" bestFit="1" customWidth="1"/>
    <col min="5" max="5" width="12.7109375" customWidth="1"/>
    <col min="6" max="6" width="10.28515625" customWidth="1"/>
    <col min="7" max="7" width="29" customWidth="1"/>
    <col min="8" max="8" width="21.42578125" bestFit="1" customWidth="1"/>
    <col min="9" max="9" width="15.7109375" bestFit="1" customWidth="1"/>
  </cols>
  <sheetData>
    <row r="1" spans="1:9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16</v>
      </c>
      <c r="I1" s="2" t="s">
        <v>15</v>
      </c>
    </row>
    <row r="2" spans="1:9">
      <c r="A2" s="1">
        <v>1</v>
      </c>
      <c r="B2" s="1">
        <v>101</v>
      </c>
      <c r="C2" s="1">
        <v>2</v>
      </c>
      <c r="D2" s="1" t="str">
        <f>VLOOKUP(B2,[0]!pro,2,0)</f>
        <v>Product A</v>
      </c>
      <c r="E2" s="1">
        <f>VLOOKUP(B2,[0]!pro,3,0)</f>
        <v>120</v>
      </c>
      <c r="F2" s="1">
        <f>E2*C2</f>
        <v>240</v>
      </c>
      <c r="G2" s="1" t="str">
        <f>IF(ISNA(VLOOKUP(B2, Products!$A$2:$C$7, 1, FALSE)), "Missing", "Exists")</f>
        <v>Exists</v>
      </c>
      <c r="H2" s="1">
        <f>VLOOKUP(B2, Products!$A$2:$C$7, 3, FALSE) * 0.9</f>
        <v>108</v>
      </c>
      <c r="I2" s="1">
        <f>MAX(F2:F7)</f>
        <v>880</v>
      </c>
    </row>
    <row r="3" spans="1:9">
      <c r="A3" s="1">
        <v>2</v>
      </c>
      <c r="B3" s="1">
        <v>103</v>
      </c>
      <c r="C3" s="1">
        <v>1</v>
      </c>
      <c r="D3" s="1" t="str">
        <f>VLOOKUP(B3,[0]!pro,2,0)</f>
        <v>Product C</v>
      </c>
      <c r="E3" s="1">
        <f>VLOOKUP(B3,[0]!pro,3,0)</f>
        <v>200</v>
      </c>
      <c r="F3" s="1">
        <f>E3*C3</f>
        <v>200</v>
      </c>
      <c r="G3" s="1" t="str">
        <f>IF(ISNA(VLOOKUP(B3, Products!$A$2:$C$7, 1, FALSE)), "Missing", "Exists")</f>
        <v>Exists</v>
      </c>
      <c r="H3" s="1">
        <f>VLOOKUP(B3, Products!$A$2:$C$7, 3, FALSE) * 0.9</f>
        <v>180</v>
      </c>
      <c r="I3" s="1"/>
    </row>
    <row r="4" spans="1:9">
      <c r="A4" s="1">
        <v>3</v>
      </c>
      <c r="B4" s="1">
        <v>105</v>
      </c>
      <c r="C4" s="1">
        <v>4</v>
      </c>
      <c r="D4" s="1" t="str">
        <f>VLOOKUP(B4,[0]!pro,2,0)</f>
        <v>Product E</v>
      </c>
      <c r="E4" s="1">
        <f>VLOOKUP(B4,[0]!pro,3,0)</f>
        <v>220</v>
      </c>
      <c r="F4" s="1">
        <f>E4*C4</f>
        <v>880</v>
      </c>
      <c r="G4" s="1" t="str">
        <f>IF(ISNA(VLOOKUP(B4, Products!$A$2:$C$7, 1, FALSE)), "Missing", "Exists")</f>
        <v>Exists</v>
      </c>
      <c r="H4" s="1">
        <f>VLOOKUP(B4, Products!$A$2:$C$7, 3, FALSE) * 0.9</f>
        <v>198</v>
      </c>
      <c r="I4" s="1"/>
    </row>
    <row r="5" spans="1:9">
      <c r="A5" s="1">
        <v>4</v>
      </c>
      <c r="B5" s="1">
        <v>106</v>
      </c>
      <c r="C5" s="1">
        <v>3</v>
      </c>
      <c r="D5" s="1" t="str">
        <f>VLOOKUP(B5,[0]!pro,2,0)</f>
        <v>Product F</v>
      </c>
      <c r="E5" s="1">
        <f>VLOOKUP(B5,[0]!pro,3,0)</f>
        <v>130</v>
      </c>
      <c r="F5" s="1">
        <f>E5*C5</f>
        <v>390</v>
      </c>
      <c r="G5" s="1" t="str">
        <f>IF(ISNA(VLOOKUP(B5, Products!$A$2:$C$7, 1, FALSE)), "Missing", "Exists")</f>
        <v>Exists</v>
      </c>
      <c r="H5" s="1">
        <f>VLOOKUP(B5, Products!$A$2:$C$7, 3, FALSE) * 0.9</f>
        <v>117</v>
      </c>
      <c r="I5" s="1"/>
    </row>
    <row r="6" spans="1:9">
      <c r="A6" s="1">
        <v>5</v>
      </c>
      <c r="B6" s="1">
        <v>102</v>
      </c>
      <c r="C6" s="1">
        <v>5</v>
      </c>
      <c r="D6" s="1" t="str">
        <f>VLOOKUP(B6,[0]!pro,2,0)</f>
        <v>Product B</v>
      </c>
      <c r="E6" s="1">
        <f>VLOOKUP(B6,[0]!pro,3,0)</f>
        <v>150</v>
      </c>
      <c r="F6" s="1">
        <f>E6*C6</f>
        <v>750</v>
      </c>
      <c r="G6" s="1" t="str">
        <f>IF(ISNA(VLOOKUP(B6, Products!$A$2:$C$7, 1, FALSE)), "Missing", "Exists")</f>
        <v>Exists</v>
      </c>
      <c r="H6" s="1">
        <f>VLOOKUP(B6, Products!$A$2:$C$7, 3, FALSE) * 0.9</f>
        <v>135</v>
      </c>
      <c r="I6" s="1"/>
    </row>
    <row r="7" spans="1:9">
      <c r="A7" s="1">
        <v>6</v>
      </c>
      <c r="B7" s="1">
        <v>104</v>
      </c>
      <c r="C7" s="1">
        <v>6</v>
      </c>
      <c r="D7" s="1" t="str">
        <f>VLOOKUP(B7,[0]!pro,2,0)</f>
        <v>Product D</v>
      </c>
      <c r="E7" s="1">
        <f>VLOOKUP(B7,[0]!pro,3,0)</f>
        <v>90</v>
      </c>
      <c r="F7" s="1">
        <f>E7*C7</f>
        <v>540</v>
      </c>
      <c r="G7" s="1" t="str">
        <f>IF(ISNA(VLOOKUP(B7, Products!$A$2:$C$7, 1, FALSE)), "Missing", "Exists")</f>
        <v>Exists</v>
      </c>
      <c r="H7" s="1">
        <f>VLOOKUP(B7, Products!$A$2:$C$7, 3, FALSE) * 0.9</f>
        <v>81</v>
      </c>
      <c r="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Products</vt:lpstr>
      <vt:lpstr>Orders</vt:lpstr>
      <vt:lpstr>ordertable</vt:lpstr>
      <vt:lpstr>pro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2025-11-27T05:59:50Z</dcterms:created>
  <dcterms:modified xsi:type="dcterms:W3CDTF">2025-11-27T08:28:50Z</dcterms:modified>
</cp:coreProperties>
</file>