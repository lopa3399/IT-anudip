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lesData" sheetId="4" r:id="rId1"/>
  </sheets>
  <calcPr calcId="124519"/>
</workbook>
</file>

<file path=xl/calcChain.xml><?xml version="1.0" encoding="utf-8"?>
<calcChain xmlns="http://schemas.openxmlformats.org/spreadsheetml/2006/main">
  <c r="L19" i="4"/>
  <c r="L17"/>
  <c r="L15"/>
  <c r="Q13"/>
  <c r="Q12"/>
  <c r="Q11"/>
  <c r="Q10"/>
  <c r="Q9"/>
  <c r="Q8"/>
  <c r="P13"/>
  <c r="O13"/>
  <c r="N13"/>
  <c r="M13"/>
  <c r="L13"/>
  <c r="P12"/>
  <c r="P11"/>
  <c r="P10"/>
  <c r="P9"/>
  <c r="P8"/>
  <c r="O12"/>
  <c r="O11"/>
  <c r="O10"/>
  <c r="O9"/>
  <c r="O8"/>
  <c r="M12"/>
  <c r="M11"/>
  <c r="M10"/>
  <c r="M9"/>
  <c r="M8"/>
  <c r="L12"/>
  <c r="L11"/>
  <c r="L10"/>
  <c r="L9"/>
  <c r="L8"/>
  <c r="L5"/>
  <c r="N8"/>
  <c r="N9"/>
  <c r="N10"/>
  <c r="N11"/>
  <c r="N12"/>
  <c r="L1"/>
  <c r="L3"/>
</calcChain>
</file>

<file path=xl/sharedStrings.xml><?xml version="1.0" encoding="utf-8"?>
<sst xmlns="http://schemas.openxmlformats.org/spreadsheetml/2006/main" count="32" uniqueCount="21">
  <si>
    <t>Product A</t>
  </si>
  <si>
    <t>Product B</t>
  </si>
  <si>
    <t>Product C</t>
  </si>
  <si>
    <t>Product D</t>
  </si>
  <si>
    <t>Product E</t>
  </si>
  <si>
    <t>Product F</t>
  </si>
  <si>
    <t>Product Name</t>
  </si>
  <si>
    <t>Mar</t>
  </si>
  <si>
    <t>Apr</t>
  </si>
  <si>
    <t>May</t>
  </si>
  <si>
    <t>Feb</t>
  </si>
  <si>
    <t>Jan</t>
  </si>
  <si>
    <t>Q1 ANS</t>
  </si>
  <si>
    <t>Q2 ANS</t>
  </si>
  <si>
    <t>Q3 ANS</t>
  </si>
  <si>
    <t>Q4 ANS</t>
  </si>
  <si>
    <t>Month</t>
  </si>
  <si>
    <t>Total=</t>
  </si>
  <si>
    <t>Q5 ANS</t>
  </si>
  <si>
    <t>Q6 ANS</t>
  </si>
  <si>
    <t>Q7 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</si>
</sst>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>
      <selection activeCell="O4" sqref="O4"/>
    </sheetView>
  </sheetViews>
  <sheetFormatPr defaultRowHeight="15"/>
  <cols>
    <col min="1" max="1" width="13.7109375" bestFit="1" customWidth="1"/>
    <col min="2" max="2" width="4" bestFit="1" customWidth="1"/>
    <col min="3" max="3" width="4.28515625" bestFit="1" customWidth="1"/>
    <col min="4" max="4" width="4.42578125" bestFit="1" customWidth="1"/>
    <col min="5" max="5" width="4.140625" bestFit="1" customWidth="1"/>
    <col min="6" max="6" width="4.7109375" bestFit="1" customWidth="1"/>
    <col min="13" max="13" width="9.140625" customWidth="1"/>
  </cols>
  <sheetData>
    <row r="1" spans="1:17">
      <c r="A1" s="1" t="s">
        <v>6</v>
      </c>
      <c r="B1" s="1" t="s">
        <v>11</v>
      </c>
      <c r="C1" s="1" t="s">
        <v>10</v>
      </c>
      <c r="D1" s="1" t="s">
        <v>7</v>
      </c>
      <c r="E1" s="1" t="s">
        <v>8</v>
      </c>
      <c r="F1" s="1" t="s">
        <v>9</v>
      </c>
      <c r="J1" s="4" t="s">
        <v>12</v>
      </c>
      <c r="L1" s="5">
        <f>HLOOKUP("Mar",A1:F7,MATCH("Product A",A1:A7,0),0)</f>
        <v>140</v>
      </c>
    </row>
    <row r="2" spans="1:17">
      <c r="A2" s="2" t="s">
        <v>0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17">
      <c r="A3" s="2" t="s">
        <v>1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J3" s="4" t="s">
        <v>13</v>
      </c>
      <c r="L3" s="5">
        <f>HLOOKUP("May", A1:F7, MATCH("Product D", A1:A7, 0), FALSE)</f>
        <v>130</v>
      </c>
    </row>
    <row r="4" spans="1:17">
      <c r="A4" s="2" t="s">
        <v>2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17">
      <c r="A5" s="2" t="s">
        <v>3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J5" s="4" t="s">
        <v>14</v>
      </c>
      <c r="L5" s="5">
        <f>HLOOKUP("Feb",A1:F7,MATCH("Product C",A1:A7,0),0)</f>
        <v>210</v>
      </c>
    </row>
    <row r="6" spans="1:17">
      <c r="A6" s="2" t="s">
        <v>4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7">
      <c r="A7" s="2" t="s">
        <v>5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J7" s="4" t="s">
        <v>15</v>
      </c>
      <c r="K7" s="3" t="s">
        <v>16</v>
      </c>
      <c r="L7" s="3" t="s">
        <v>0</v>
      </c>
      <c r="M7" s="3" t="s">
        <v>1</v>
      </c>
      <c r="N7" s="3" t="s">
        <v>2</v>
      </c>
      <c r="O7" s="3" t="s">
        <v>3</v>
      </c>
      <c r="P7" s="3" t="s">
        <v>4</v>
      </c>
      <c r="Q7" s="3" t="s">
        <v>5</v>
      </c>
    </row>
    <row r="8" spans="1:17">
      <c r="K8" s="2" t="s">
        <v>11</v>
      </c>
      <c r="L8" s="2">
        <f>HLOOKUP("Jan",A1:F7,MATCH("Product A",A1:A7,0),0)</f>
        <v>120</v>
      </c>
      <c r="M8" s="2">
        <f>HLOOKUP("Jan",A1:F7,MATCH("Product B",A1:A7,0),0)</f>
        <v>150</v>
      </c>
      <c r="N8" s="2">
        <f>HLOOKUP("Jan",A1:F7,MATCH("Product C",A1:A7,0),FALSE)</f>
        <v>200</v>
      </c>
      <c r="O8" s="2">
        <f>HLOOKUP("Jan",A1:F7,MATCH("Product D",A1:A7,0),0)</f>
        <v>90</v>
      </c>
      <c r="P8" s="2">
        <f>HLOOKUP("Jan",A1:F7,MATCH("Product E",A1:A7,0),0)</f>
        <v>220</v>
      </c>
      <c r="Q8" s="2">
        <f>HLOOKUP("Jan",A1:F7,MATCH("Product F",A1:A7,0),0)</f>
        <v>130</v>
      </c>
    </row>
    <row r="9" spans="1:17">
      <c r="K9" s="2" t="s">
        <v>10</v>
      </c>
      <c r="L9" s="2">
        <f>HLOOKUP("Feb",A1:F7,MATCH("Product A",A1:A7,0),0)</f>
        <v>130</v>
      </c>
      <c r="M9" s="2">
        <f>HLOOKUP("Feb",A1:F7,MATCH("Product B",A1:A7,0),0)</f>
        <v>160</v>
      </c>
      <c r="N9" s="2">
        <f>+HLOOKUP("Feb",A1:F7,MATCH("Product C",A1:A7,0),FALSE)</f>
        <v>210</v>
      </c>
      <c r="O9" s="2">
        <f>HLOOKUP("Feb",A1:F7,MATCH("Product D",A1:A7,0),0)</f>
        <v>100</v>
      </c>
      <c r="P9" s="2">
        <f>HLOOKUP("Feb",A1:F7,MATCH("Product E",A1:A7,0),0)</f>
        <v>230</v>
      </c>
      <c r="Q9" s="2">
        <f>HLOOKUP("Feb",A1:F7,MATCH("Product F",A1:A7,0),0)</f>
        <v>140</v>
      </c>
    </row>
    <row r="10" spans="1:17">
      <c r="K10" s="2" t="s">
        <v>7</v>
      </c>
      <c r="L10" s="2">
        <f>HLOOKUP("Mar",A1:F7,MATCH("Product A",A1:A7,0),0)</f>
        <v>140</v>
      </c>
      <c r="M10" s="2">
        <f>HLOOKUP("Mar",A1:F7,MATCH("Product B",A1:A7,0),0)</f>
        <v>170</v>
      </c>
      <c r="N10" s="2">
        <f>+HLOOKUP("Mar",A1:F7,MATCH("Product C",A1:A7,0),FALSE)</f>
        <v>220</v>
      </c>
      <c r="O10" s="2">
        <f>HLOOKUP("Mar",A1:F7,MATCH("Product D",A1:A7,0),0)</f>
        <v>110</v>
      </c>
      <c r="P10" s="2">
        <f>HLOOKUP("Mar",A1:F7,MATCH("Product E",A1:A7,0),0)</f>
        <v>240</v>
      </c>
      <c r="Q10" s="2">
        <f>HLOOKUP("Mar",A1:F7,MATCH("Product F",A1:A7,0),0)</f>
        <v>150</v>
      </c>
    </row>
    <row r="11" spans="1:17">
      <c r="K11" s="2" t="s">
        <v>8</v>
      </c>
      <c r="L11" s="2">
        <f>HLOOKUP("Apr",A1:F7,MATCH("Product A",A1:A7,0),0)</f>
        <v>150</v>
      </c>
      <c r="M11" s="2">
        <f>HLOOKUP("Apr",A1:F7,MATCH("Product B",A1:A7,0),0)</f>
        <v>180</v>
      </c>
      <c r="N11" s="2">
        <f>+HLOOKUP("Apr",A1:F7,MATCH("Product C",A1:A7,0),FALSE)</f>
        <v>230</v>
      </c>
      <c r="O11" s="2">
        <f>HLOOKUP("Apr",A1:F7,MATCH("Product D",A1:A7,0),0)</f>
        <v>120</v>
      </c>
      <c r="P11" s="2">
        <f>HLOOKUP("Apr",A1:F7,MATCH("Product E",A1:A7,0),0)</f>
        <v>250</v>
      </c>
      <c r="Q11" s="2">
        <f>HLOOKUP("Apr",A1:F7,MATCH("Product F",A1:A7,0),0)</f>
        <v>160</v>
      </c>
    </row>
    <row r="12" spans="1:17">
      <c r="K12" s="2" t="s">
        <v>9</v>
      </c>
      <c r="L12" s="2">
        <f>HLOOKUP("May",A1:F7,MATCH("Product A",A1:A7,0),0)</f>
        <v>160</v>
      </c>
      <c r="M12" s="2">
        <f>HLOOKUP("May",A1:F7,MATCH("Product B",A1:A7,0),0)</f>
        <v>190</v>
      </c>
      <c r="N12" s="2">
        <f>+HLOOKUP("May",A1:F7,MATCH("Product C",A1:A7,0),FALSE)</f>
        <v>240</v>
      </c>
      <c r="O12" s="2">
        <f>HLOOKUP("May",A1:F7,MATCH("Product D",A1:A7,0),0)</f>
        <v>130</v>
      </c>
      <c r="P12" s="2">
        <f>HLOOKUP("May",A1:F7,MATCH("Product E",A1:A7,0),0)</f>
        <v>260</v>
      </c>
      <c r="Q12" s="2">
        <f>HLOOKUP("May",A1:F7,MATCH("Product F",A1:A7,0),0)</f>
        <v>170</v>
      </c>
    </row>
    <row r="13" spans="1:17">
      <c r="K13" s="2" t="s">
        <v>17</v>
      </c>
      <c r="L13" s="2">
        <f>SUM(L8:L12)</f>
        <v>700</v>
      </c>
      <c r="M13" s="2">
        <f>SUM(M8:M12)</f>
        <v>850</v>
      </c>
      <c r="N13" s="2">
        <f>SUM(N8:N12)</f>
        <v>1100</v>
      </c>
      <c r="O13" s="2">
        <f>SUM(O8:O12)</f>
        <v>550</v>
      </c>
      <c r="P13" s="2">
        <f>SUM(P8:P12)</f>
        <v>1200</v>
      </c>
      <c r="Q13" s="2">
        <f>SUM(Q8:Q12)</f>
        <v>750</v>
      </c>
    </row>
    <row r="15" spans="1:17">
      <c r="J15" s="4" t="s">
        <v>18</v>
      </c>
      <c r="L15" s="5">
        <f>MAX(
    HLOOKUP("Jan", A1:F7, MATCH("Product B", A1:A7, 0), FALSE),
    HLOOKUP("Feb", A1:F7, MATCH("Product B", A1:A7, 0), FALSE),
    HLOOKUP("Mar", A1:F7, MATCH("Product B", A1:A7, 0), FALSE),
    HLOOKUP("Apr", A1:F7, MATCH("Product B", A1:A7, 0), FALSE),
    HLOOKUP("May", A1:F7, MATCH("Product B", A1:A7, 0), FALSE)
)</f>
        <v>190</v>
      </c>
    </row>
    <row r="17" spans="10:12">
      <c r="J17" s="4" t="s">
        <v>19</v>
      </c>
      <c r="L17" s="5">
        <f>MIN(
    HLOOKUP("Jan", A1:F7, MATCH("Product F", A1:A7, 0), FALSE),
    HLOOKUP("Feb", A1:F7, MATCH("Product F", A1:A7, 0), FALSE),
    HLOOKUP("Mar", A1:F7, MATCH("Product F", A1:A7, 0), FALSE),
    HLOOKUP("Apr", A1:F7, MATCH("Product F", A1:A7, 0), FALSE),
    HLOOKUP("May", A1:F7, MATCH("Product F", A1:A7, 0), FALSE)
)</f>
        <v>130</v>
      </c>
    </row>
    <row r="19" spans="10:12">
      <c r="J19" s="4" t="s">
        <v>20</v>
      </c>
      <c r="L19" s="5">
        <f>AVERAGE(
    HLOOKUP("Jan", A1:F7, MATCH("Product E", A1:A7, 0), FALSE),
    HLOOKUP("Feb", A1:F7, MATCH("Product E", A1:A7, 0), FALSE),
    HLOOKUP("Mar", A1:F7, MATCH("Product E", A1:A7, 0), FALSE),
    HLOOKUP("Apr", A1:F7, MATCH("Product E", A1:A7, 0), FALSE),
    HLOOKUP("May", A1:F7, MATCH("Product E", A1:A7, 0), FALSE)
)</f>
        <v>240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2025-11-28T11:48:46Z</dcterms:modified>
</cp:coreProperties>
</file>