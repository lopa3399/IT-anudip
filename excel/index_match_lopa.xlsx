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N19" i="1"/>
  <c r="N17"/>
  <c r="N14"/>
  <c r="N12"/>
  <c r="N10"/>
  <c r="N8"/>
  <c r="N6"/>
  <c r="N4"/>
</calcChain>
</file>

<file path=xl/sharedStrings.xml><?xml version="1.0" encoding="utf-8"?>
<sst xmlns="http://schemas.openxmlformats.org/spreadsheetml/2006/main" count="34" uniqueCount="26">
  <si>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</si>
  <si>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</si>
  <si>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</si>
  <si>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</si>
  <si>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</si>
  <si>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</si>
  <si>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</si>
  <si>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</si>
  <si>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</si>
  <si>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PRODB</t>
  </si>
  <si>
    <t>PRODC</t>
  </si>
  <si>
    <t>PRODD</t>
  </si>
  <si>
    <t>PRODE</t>
  </si>
  <si>
    <t>PRODF</t>
  </si>
  <si>
    <t>Electronics</t>
  </si>
  <si>
    <t>Furniture</t>
  </si>
  <si>
    <t>Clothing</t>
  </si>
  <si>
    <t>Q1</t>
  </si>
  <si>
    <t>Q2</t>
  </si>
  <si>
    <t>Q3</t>
  </si>
  <si>
    <t>Max sale</t>
  </si>
  <si>
    <t>Q4</t>
  </si>
  <si>
    <t>Q5</t>
  </si>
  <si>
    <t>Q6</t>
  </si>
  <si>
    <t>Q7</t>
  </si>
  <si>
    <t>Q8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</si>
</sst>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/>
    <xf numFmtId="0" fontId="0" fillId="2" borderId="1" xfId="0" applyFill="1" applyBorder="1"/>
    <xf numFmtId="0" fontId="1" fillId="4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>
      <selection activeCell="O19" sqref="O19"/>
    </sheetView>
  </sheetViews>
  <sheetFormatPr defaultRowHeight="15"/>
  <cols>
    <col min="3" max="3" width="10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3"/>
    </row>
    <row r="2" spans="1:14">
      <c r="A2" s="2">
        <v>101</v>
      </c>
      <c r="B2" s="2" t="s">
        <v>8</v>
      </c>
      <c r="C2" s="2" t="s">
        <v>14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</row>
    <row r="3" spans="1:14">
      <c r="A3" s="2">
        <v>102</v>
      </c>
      <c r="B3" s="2" t="s">
        <v>9</v>
      </c>
      <c r="C3" s="2" t="s">
        <v>15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</row>
    <row r="4" spans="1:14">
      <c r="A4" s="2">
        <v>103</v>
      </c>
      <c r="B4" s="2" t="s">
        <v>10</v>
      </c>
      <c r="C4" s="2" t="s">
        <v>14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  <c r="K4" t="s">
        <v>17</v>
      </c>
      <c r="L4" s="2" t="s">
        <v>10</v>
      </c>
      <c r="M4" s="1" t="s">
        <v>5</v>
      </c>
      <c r="N4">
        <f>INDEX(A1:H7,MATCH(L4,B1:B7,0),MATCH(M4,A1:H1,0))</f>
        <v>220</v>
      </c>
    </row>
    <row r="5" spans="1:14">
      <c r="A5" s="2">
        <v>104</v>
      </c>
      <c r="B5" s="2" t="s">
        <v>11</v>
      </c>
      <c r="C5" s="2" t="s">
        <v>16</v>
      </c>
      <c r="D5" s="2">
        <v>90</v>
      </c>
      <c r="E5" s="2">
        <v>100</v>
      </c>
      <c r="F5" s="2">
        <v>110</v>
      </c>
      <c r="G5" s="2">
        <v>120</v>
      </c>
      <c r="H5" s="2">
        <v>130</v>
      </c>
    </row>
    <row r="6" spans="1:14">
      <c r="A6" s="2">
        <v>105</v>
      </c>
      <c r="B6" s="2" t="s">
        <v>12</v>
      </c>
      <c r="C6" s="2" t="s">
        <v>15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  <c r="K6" t="s">
        <v>18</v>
      </c>
      <c r="L6" s="2" t="s">
        <v>12</v>
      </c>
      <c r="M6" s="1" t="s">
        <v>2</v>
      </c>
      <c r="N6" t="str">
        <f>INDEX(A1:H7,MATCH(L6,B1:B7,),MATCH(M6,A1:H1,))</f>
        <v>Furniture</v>
      </c>
    </row>
    <row r="7" spans="1:14">
      <c r="A7" s="2">
        <v>106</v>
      </c>
      <c r="B7" s="2" t="s">
        <v>13</v>
      </c>
      <c r="C7" s="2" t="s">
        <v>14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</row>
    <row r="8" spans="1:14">
      <c r="K8" t="s">
        <v>19</v>
      </c>
      <c r="L8" s="2" t="s">
        <v>9</v>
      </c>
      <c r="M8" t="s">
        <v>20</v>
      </c>
      <c r="N8">
        <f>MAX(INDEX($D$2:$H$7, MATCH("PRODB",$B$2:$B$7,0), 0))</f>
        <v>190</v>
      </c>
    </row>
    <row r="10" spans="1:14">
      <c r="K10" t="s">
        <v>21</v>
      </c>
      <c r="N10" t="str">
        <f>INDEX($C$1:$H$1, MATCH(MAX(INDEX($C$2:$H$7, MATCH("PRODA", $B$2:$B$7, 0), 0)), INDEX($C$2:$H$7, MATCH("PRODA", $B$2:$B$7, 0), 0), 0))</f>
        <v>May Sales</v>
      </c>
    </row>
    <row r="12" spans="1:14">
      <c r="K12" t="s">
        <v>22</v>
      </c>
      <c r="N12">
        <f>SUMIF($C$2:$C$7, "Electronics", INDEX($D$2:$H$7, 0, MATCH("Apr Sales", $D$1:$H$1, 0)))</f>
        <v>540</v>
      </c>
    </row>
    <row r="14" spans="1:14">
      <c r="K14" t="s">
        <v>23</v>
      </c>
      <c r="N14">
        <f>AVERAGE(INDEX($C$2:$H$7, MATCH("PRODD", $B$2:$B$7, 0), 0))</f>
        <v>110</v>
      </c>
    </row>
    <row r="17" spans="11:14">
      <c r="K17" t="s">
        <v>24</v>
      </c>
      <c r="N17">
        <f>INDEX($D$2:$H$7, MATCH(105, $A$2:$A$7, 0), MATCH("May Sales", $D$1:$H$1, 0))</f>
        <v>260</v>
      </c>
    </row>
    <row r="19" spans="11:14">
      <c r="K19" t="s">
        <v>25</v>
      </c>
      <c r="N19" t="e">
        <f>INDEX($C$2:$H$7, MATCH(TRIM(L2), $B$2:$B$7, 0), MATCH(TRIM(M2), $C$1:$H$1, 0))</f>
        <v>#N/A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2025-12-02T18:57:16Z</dcterms:modified>
</cp:coreProperties>
</file>